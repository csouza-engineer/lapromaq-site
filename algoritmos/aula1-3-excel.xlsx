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240" yWindow="75" windowWidth="11415" windowHeight="484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13" i="1" l="1"/>
  <c r="H13" i="1" l="1"/>
  <c r="I13" i="1" s="1"/>
  <c r="J13" i="1" s="1"/>
  <c r="G9" i="1"/>
  <c r="H9" i="1" s="1"/>
  <c r="I9" i="1" s="1"/>
  <c r="J9" i="1" s="1"/>
  <c r="G10" i="1"/>
  <c r="G11" i="1"/>
  <c r="G12" i="1"/>
  <c r="G8" i="1"/>
  <c r="H8" i="1" s="1"/>
  <c r="I8" i="1" s="1"/>
  <c r="J8" i="1" s="1"/>
  <c r="H10" i="1"/>
  <c r="I10" i="1" s="1"/>
  <c r="J10" i="1" s="1"/>
  <c r="H11" i="1"/>
  <c r="I11" i="1" s="1"/>
  <c r="J11" i="1" s="1"/>
  <c r="G7" i="1"/>
  <c r="H12" i="1"/>
  <c r="I12" i="1" s="1"/>
  <c r="J12" i="1" s="1"/>
  <c r="H7" i="1" l="1"/>
  <c r="I7" i="1" s="1"/>
  <c r="J7" i="1" s="1"/>
</calcChain>
</file>

<file path=xl/sharedStrings.xml><?xml version="1.0" encoding="utf-8"?>
<sst xmlns="http://schemas.openxmlformats.org/spreadsheetml/2006/main" count="11" uniqueCount="11">
  <si>
    <t>Profundidade de aração (cm) =</t>
  </si>
  <si>
    <t>Largura de corte do arado (m) =</t>
  </si>
  <si>
    <t>V    (km/h)</t>
  </si>
  <si>
    <t>Força na barra de tração (N)</t>
  </si>
  <si>
    <t>Resistência do solo ao corte (N/cm²)</t>
  </si>
  <si>
    <t>Potência na barra (kW)</t>
  </si>
  <si>
    <t>Potência na barra (cv)</t>
  </si>
  <si>
    <t>Resultados</t>
  </si>
  <si>
    <t>Dados de entrada</t>
  </si>
  <si>
    <t>Cálculo da potência de tração demandada por arados de discos</t>
  </si>
  <si>
    <t>Prof. Cristiano Marcio - www.do.ufgd.edu.br/cristianosouza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</si>
</sst>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4" fillId="4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Border="1"/>
    <xf numFmtId="0" fontId="0" fillId="0" borderId="9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6" fillId="0" borderId="0" xfId="1"/>
    <xf numFmtId="0" fontId="4" fillId="4" borderId="1" xfId="0" applyFont="1" applyFill="1" applyBorder="1" applyAlignment="1" applyProtection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Potência na barra</a:t>
            </a:r>
          </a:p>
        </c:rich>
      </c:tx>
      <c:layout>
        <c:manualLayout>
          <c:xMode val="edge"/>
          <c:yMode val="edge"/>
          <c:x val="0.38180716567055623"/>
          <c:y val="2.3228803716608595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Plan1!$J$6</c:f>
              <c:strCache>
                <c:ptCount val="1"/>
                <c:pt idx="0">
                  <c:v>Potência na barra (cv)</c:v>
                </c:pt>
              </c:strCache>
            </c:strRef>
          </c:tx>
          <c:marker>
            <c:symbol val="none"/>
          </c:marker>
          <c:xVal>
            <c:numRef>
              <c:f>Plan1!$D$7:$D$13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5.5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Plan1!$J$7:$J$13</c:f>
              <c:numCache>
                <c:formatCode>0.0</c:formatCode>
                <c:ptCount val="7"/>
                <c:pt idx="0">
                  <c:v>0</c:v>
                </c:pt>
                <c:pt idx="1">
                  <c:v>17.422222222222224</c:v>
                </c:pt>
                <c:pt idx="2">
                  <c:v>24.177777777777774</c:v>
                </c:pt>
                <c:pt idx="3">
                  <c:v>31.746031746031743</c:v>
                </c:pt>
                <c:pt idx="4">
                  <c:v>35.898412698412699</c:v>
                </c:pt>
                <c:pt idx="5">
                  <c:v>40.330158730158729</c:v>
                </c:pt>
                <c:pt idx="6">
                  <c:v>50.13333333333334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61280"/>
        <c:axId val="110163584"/>
      </c:scatterChart>
      <c:valAx>
        <c:axId val="110161280"/>
        <c:scaling>
          <c:orientation val="minMax"/>
          <c:max val="7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Velocidade (km/h)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10163584"/>
        <c:crosses val="autoZero"/>
        <c:crossBetween val="midCat"/>
        <c:majorUnit val="1"/>
      </c:valAx>
      <c:valAx>
        <c:axId val="110163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Potência (cv)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crossAx val="11016128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chart" Target="../charts/chart1.xml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13</xdr:row>
      <xdr:rowOff>95251</xdr:rowOff>
    </xdr:from>
    <xdr:to>
      <xdr:col>9</xdr:col>
      <xdr:colOff>819150</xdr:colOff>
      <xdr:row>26</xdr:row>
      <xdr:rowOff>114301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18</xdr:row>
      <xdr:rowOff>66674</xdr:rowOff>
    </xdr:from>
    <xdr:to>
      <xdr:col>1</xdr:col>
      <xdr:colOff>25448</xdr:colOff>
      <xdr:row>25</xdr:row>
      <xdr:rowOff>57147</xdr:rowOff>
    </xdr:to>
    <xdr:pic>
      <xdr:nvPicPr>
        <xdr:cNvPr id="4" name="Imagem 3" descr="arado fixio_Agrillage-Balda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4000499"/>
          <a:ext cx="2006647" cy="1323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104774</xdr:colOff>
      <xdr:row>18</xdr:row>
      <xdr:rowOff>142812</xdr:rowOff>
    </xdr:from>
    <xdr:to>
      <xdr:col>4</xdr:col>
      <xdr:colOff>161924</xdr:colOff>
      <xdr:row>26</xdr:row>
      <xdr:rowOff>0</xdr:rowOff>
    </xdr:to>
    <xdr:pic>
      <xdr:nvPicPr>
        <xdr:cNvPr id="5" name="Imagem 4" descr="arado_Disc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4" y="4076637"/>
          <a:ext cx="1533525" cy="1381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504825</xdr:colOff>
          <xdr:row>8</xdr:row>
          <xdr:rowOff>152400</xdr:rowOff>
        </xdr:from>
        <xdr:to>
          <xdr:col>0</xdr:col>
          <xdr:colOff>1895475</xdr:colOff>
          <xdr:row>10</xdr:row>
          <xdr:rowOff>180975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</xdr:row>
      <xdr:rowOff>57150</xdr:rowOff>
    </xdr:from>
    <xdr:to>
      <xdr:col>5</xdr:col>
      <xdr:colOff>295276</xdr:colOff>
      <xdr:row>18</xdr:row>
      <xdr:rowOff>9525</xdr:rowOff>
    </xdr:to>
    <xdr:pic>
      <xdr:nvPicPr>
        <xdr:cNvPr id="8" name="Imagem 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97" r="13261"/>
        <a:stretch/>
      </xdr:blipFill>
      <xdr:spPr bwMode="auto">
        <a:xfrm>
          <a:off x="0" y="3038475"/>
          <a:ext cx="4429126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image" Target="../media/image1.wmf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o.ufgd.edu.br/cristianosouza/index.html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2.v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J13"/>
  <sheetViews>
    <sheetView tabSelected="1" workbookViewId="0">
      <selection activeCell="G10" sqref="G10"/>
    </sheetView>
  </sheetViews>
  <sheetFormatPr defaultRowHeight="15" x14ac:dyDescent="0.25"/>
  <cols>
    <col min="1" max="1" width="30.28515625" customWidth="1"/>
    <col min="3" max="3" width="3.7109375" customWidth="1"/>
    <col min="4" max="4" width="9.28515625" customWidth="1"/>
    <col min="5" max="5" width="9.5703125" customWidth="1"/>
    <col min="6" max="6" width="15.5703125" customWidth="1"/>
    <col min="7" max="7" width="14.85546875" customWidth="1"/>
    <col min="8" max="8" width="11.42578125" customWidth="1"/>
    <col min="9" max="9" width="12.85546875" customWidth="1"/>
    <col min="10" max="10" width="12.42578125" customWidth="1"/>
    <col min="11" max="11" width="11.42578125" customWidth="1"/>
    <col min="12" max="12" width="10.85546875" customWidth="1"/>
  </cols>
  <sheetData>
    <row r="1" spans="1:10" ht="18.75" x14ac:dyDescent="0.3">
      <c r="A1" s="29" t="s">
        <v>9</v>
      </c>
      <c r="B1" s="30"/>
      <c r="C1" s="30"/>
      <c r="D1" s="30"/>
      <c r="E1" s="30"/>
      <c r="F1" s="30"/>
      <c r="G1" s="30"/>
      <c r="H1" s="30"/>
      <c r="I1" s="30"/>
      <c r="J1" s="31"/>
    </row>
    <row r="3" spans="1:10" x14ac:dyDescent="0.25">
      <c r="A3" s="24" t="s">
        <v>10</v>
      </c>
    </row>
    <row r="5" spans="1:10" ht="18.75" x14ac:dyDescent="0.3">
      <c r="A5" s="26" t="s">
        <v>8</v>
      </c>
      <c r="B5" s="27"/>
      <c r="C5" s="27"/>
      <c r="D5" s="28"/>
      <c r="E5" s="2"/>
      <c r="G5" s="26" t="s">
        <v>7</v>
      </c>
      <c r="H5" s="27"/>
      <c r="I5" s="27"/>
      <c r="J5" s="28"/>
    </row>
    <row r="6" spans="1:10" ht="47.25" x14ac:dyDescent="0.25">
      <c r="A6" s="5" t="s">
        <v>0</v>
      </c>
      <c r="B6" s="25">
        <v>28</v>
      </c>
      <c r="C6" s="21"/>
      <c r="D6" s="23" t="s">
        <v>2</v>
      </c>
      <c r="G6" s="9" t="s">
        <v>4</v>
      </c>
      <c r="H6" s="10" t="s">
        <v>3</v>
      </c>
      <c r="I6" s="10" t="s">
        <v>5</v>
      </c>
      <c r="J6" s="11" t="s">
        <v>6</v>
      </c>
    </row>
    <row r="7" spans="1:10" x14ac:dyDescent="0.25">
      <c r="A7" s="6" t="s">
        <v>1</v>
      </c>
      <c r="B7" s="25">
        <v>1</v>
      </c>
      <c r="C7" s="22"/>
      <c r="D7" s="1">
        <v>0</v>
      </c>
      <c r="G7" s="12">
        <f>5.2+0.032*D7^2</f>
        <v>5.2</v>
      </c>
      <c r="H7" s="13">
        <f>G7*$B$6*$B$7*100</f>
        <v>14560</v>
      </c>
      <c r="I7" s="13">
        <f t="shared" ref="I7:I13" si="0">(H7/1000)*D7/3.6</f>
        <v>0</v>
      </c>
      <c r="J7" s="14">
        <f>I7/0.735</f>
        <v>0</v>
      </c>
    </row>
    <row r="8" spans="1:10" x14ac:dyDescent="0.25">
      <c r="A8" s="7"/>
      <c r="B8" s="22"/>
      <c r="C8" s="22"/>
      <c r="D8" s="1">
        <v>3</v>
      </c>
      <c r="G8" s="15">
        <f>5.2+0.032*D8^2</f>
        <v>5.4880000000000004</v>
      </c>
      <c r="H8" s="16">
        <f t="shared" ref="H8:H12" si="1">G8*$B$6*$B$7*100</f>
        <v>15366.400000000001</v>
      </c>
      <c r="I8" s="16">
        <f t="shared" si="0"/>
        <v>12.805333333333335</v>
      </c>
      <c r="J8" s="17">
        <f t="shared" ref="J8:J13" si="2">I8/0.735</f>
        <v>17.422222222222224</v>
      </c>
    </row>
    <row r="9" spans="1:10" x14ac:dyDescent="0.25">
      <c r="A9" s="7"/>
      <c r="B9" s="22"/>
      <c r="C9" s="22"/>
      <c r="D9" s="1">
        <v>4</v>
      </c>
      <c r="G9" s="15">
        <f t="shared" ref="G9:G12" si="3">5.2+0.032*D9^2</f>
        <v>5.7119999999999997</v>
      </c>
      <c r="H9" s="16">
        <f t="shared" si="1"/>
        <v>15993.599999999999</v>
      </c>
      <c r="I9" s="16">
        <f t="shared" si="0"/>
        <v>17.770666666666664</v>
      </c>
      <c r="J9" s="17">
        <f t="shared" si="2"/>
        <v>24.177777777777774</v>
      </c>
    </row>
    <row r="10" spans="1:10" x14ac:dyDescent="0.25">
      <c r="A10" s="7"/>
      <c r="B10" s="22"/>
      <c r="C10" s="22"/>
      <c r="D10" s="1">
        <v>5</v>
      </c>
      <c r="G10" s="15">
        <f t="shared" si="3"/>
        <v>6</v>
      </c>
      <c r="H10" s="16">
        <f t="shared" si="1"/>
        <v>16800</v>
      </c>
      <c r="I10" s="16">
        <f t="shared" si="0"/>
        <v>23.333333333333332</v>
      </c>
      <c r="J10" s="17">
        <f t="shared" si="2"/>
        <v>31.746031746031743</v>
      </c>
    </row>
    <row r="11" spans="1:10" x14ac:dyDescent="0.25">
      <c r="A11" s="7"/>
      <c r="B11" s="22"/>
      <c r="C11" s="22"/>
      <c r="D11" s="1">
        <v>5.5</v>
      </c>
      <c r="G11" s="15">
        <f t="shared" si="3"/>
        <v>6.1680000000000001</v>
      </c>
      <c r="H11" s="16">
        <f t="shared" si="1"/>
        <v>17270.400000000001</v>
      </c>
      <c r="I11" s="16">
        <f t="shared" si="0"/>
        <v>26.385333333333335</v>
      </c>
      <c r="J11" s="17">
        <f t="shared" si="2"/>
        <v>35.898412698412699</v>
      </c>
    </row>
    <row r="12" spans="1:10" x14ac:dyDescent="0.25">
      <c r="A12" s="7"/>
      <c r="B12" s="22"/>
      <c r="C12" s="22"/>
      <c r="D12" s="1">
        <v>6</v>
      </c>
      <c r="G12" s="15">
        <f t="shared" si="3"/>
        <v>6.3520000000000003</v>
      </c>
      <c r="H12" s="16">
        <f t="shared" si="1"/>
        <v>17785.599999999999</v>
      </c>
      <c r="I12" s="16">
        <f t="shared" si="0"/>
        <v>29.642666666666663</v>
      </c>
      <c r="J12" s="17">
        <f t="shared" si="2"/>
        <v>40.330158730158729</v>
      </c>
    </row>
    <row r="13" spans="1:10" x14ac:dyDescent="0.25">
      <c r="A13" s="8"/>
      <c r="B13" s="3"/>
      <c r="C13" s="4"/>
      <c r="D13" s="1">
        <v>7</v>
      </c>
      <c r="G13" s="18">
        <f>5.2+0.032*D13^2</f>
        <v>6.7680000000000007</v>
      </c>
      <c r="H13" s="19">
        <f>G13*$B$6*$B$7*100</f>
        <v>18950.400000000001</v>
      </c>
      <c r="I13" s="19">
        <f t="shared" si="0"/>
        <v>36.848000000000006</v>
      </c>
      <c r="J13" s="20">
        <f t="shared" si="2"/>
        <v>50.13333333333334</v>
      </c>
    </row>
  </sheetData>
  <mergeCells count="3">
    <mergeCell ref="A5:D5"/>
    <mergeCell ref="A1:J1"/>
    <mergeCell ref="G5:J5"/>
  </mergeCells>
  <hyperlinks>
    <hyperlink ref="A3" r:id="rId1"/>
  </hyperlinks>
  <printOptions horizontalCentered="1"/>
  <pageMargins left="0.51181102362204722" right="0.51181102362204722" top="1.3779527559055118" bottom="0.78740157480314965" header="0.31496062992125984" footer="0.31496062992125984"/>
  <pageSetup paperSize="9" orientation="landscape" horizontalDpi="300" verticalDpi="300" r:id="rId2"/>
  <headerFooter>
    <oddHeader>&amp;C&amp;G</oddHeader>
    <oddFooter>&amp;CProf. Cristiano Marcio
www.do.ufgd.edu.br/cristianosouza</oddFooter>
  </headerFooter>
  <drawing r:id="rId3"/>
  <legacyDrawing r:id="rId4"/>
  <legacyDrawingHF r:id="rId5"/>
  <oleObjects>
    <mc:AlternateContent xmlns:mc="http://schemas.openxmlformats.org/markup-compatibility/2006">
      <mc:Choice Requires="x14">
        <oleObject progId="Equation.3" shapeId="1030" r:id="rId6">
          <objectPr defaultSize="0" autoPict="0" r:id="rId7">
            <anchor moveWithCells="1" sizeWithCells="1">
              <from>
                <xdr:col>0</xdr:col>
                <xdr:colOff>504825</xdr:colOff>
                <xdr:row>8</xdr:row>
                <xdr:rowOff>152400</xdr:rowOff>
              </from>
              <to>
                <xdr:col>0</xdr:col>
                <xdr:colOff>1895475</xdr:colOff>
                <xdr:row>10</xdr:row>
                <xdr:rowOff>180975</xdr:rowOff>
              </to>
            </anchor>
          </objectPr>
        </oleObject>
      </mc:Choice>
      <mc:Fallback>
        <oleObject progId="Equation.3" shapeId="1030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UFGD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</dc:creator>
  <cp:lastModifiedBy>Usuario</cp:lastModifiedBy>
  <cp:lastPrinted>2013-08-23T21:19:54Z</cp:lastPrinted>
  <dcterms:created xsi:type="dcterms:W3CDTF">2009-09-08T11:34:39Z</dcterms:created>
  <dcterms:modified xsi:type="dcterms:W3CDTF">2013-08-23T21:39:52Z</dcterms:modified>
  <cp:contentStatus/>
</cp:coreProperties>
</file>